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mad\Desktop\"/>
    </mc:Choice>
  </mc:AlternateContent>
  <bookViews>
    <workbookView xWindow="0" yWindow="0" windowWidth="19200" windowHeight="6930"/>
  </bookViews>
  <sheets>
    <sheet name="تحدي شهر رمضان" sheetId="5" r:id="rId1"/>
  </sheets>
  <calcPr calcId="162913"/>
  <extLst>
    <ext uri="GoogleSheetsCustomDataVersion2">
      <go:sheetsCustomData xmlns:go="http://customooxmlschemas.google.com/" r:id="rId8" roundtripDataChecksum="yTtZJYHaZ6sPmsgol+1xp8SfYKX4rDBsQcjRJR/HwZM="/>
    </ext>
  </extLst>
</workbook>
</file>

<file path=xl/calcChain.xml><?xml version="1.0" encoding="utf-8"?>
<calcChain xmlns="http://schemas.openxmlformats.org/spreadsheetml/2006/main">
  <c r="N3" i="5" l="1"/>
  <c r="AB10" i="5" l="1"/>
  <c r="AB9" i="5"/>
  <c r="U9" i="5"/>
  <c r="U10" i="5"/>
  <c r="N10" i="5"/>
  <c r="N9" i="5"/>
  <c r="G10" i="5"/>
  <c r="G9" i="5"/>
  <c r="S10" i="5"/>
  <c r="L10" i="5"/>
  <c r="L9" i="5"/>
  <c r="Z10" i="5"/>
  <c r="Z9" i="5"/>
  <c r="S9" i="5"/>
  <c r="E10" i="5"/>
  <c r="E9" i="5"/>
  <c r="C5" i="5"/>
  <c r="M5" i="5" s="1"/>
  <c r="C3" i="5"/>
  <c r="M3" i="5" s="1"/>
  <c r="N5" i="5" l="1"/>
</calcChain>
</file>

<file path=xl/sharedStrings.xml><?xml version="1.0" encoding="utf-8"?>
<sst xmlns="http://schemas.openxmlformats.org/spreadsheetml/2006/main" count="89" uniqueCount="48">
  <si>
    <t>تحدي شهر رمضان المبارك</t>
  </si>
  <si>
    <t>اجمالي الصلوات</t>
  </si>
  <si>
    <t>هدف الصلوات</t>
  </si>
  <si>
    <t>نسبة التحقيق</t>
  </si>
  <si>
    <t>اجمالي الأجزاء</t>
  </si>
  <si>
    <t>هدف الأجزاء</t>
  </si>
  <si>
    <t>الأسبوع الأول</t>
  </si>
  <si>
    <t>الأسبوع الثاني</t>
  </si>
  <si>
    <t>الأسبوع الثالث</t>
  </si>
  <si>
    <t>الأسبوع الرابع</t>
  </si>
  <si>
    <t>الصلوات</t>
  </si>
  <si>
    <t>رمضان 1</t>
  </si>
  <si>
    <t>2 رمضان</t>
  </si>
  <si>
    <t>3 رمضان</t>
  </si>
  <si>
    <t>4 رمضان</t>
  </si>
  <si>
    <t>5 رمضان</t>
  </si>
  <si>
    <t>6 رمضان</t>
  </si>
  <si>
    <t>7 رمضان</t>
  </si>
  <si>
    <t>8 رمضان</t>
  </si>
  <si>
    <t>9 رمضان</t>
  </si>
  <si>
    <t>10 رمضان</t>
  </si>
  <si>
    <t>11 رمضان</t>
  </si>
  <si>
    <t>12 رمضان</t>
  </si>
  <si>
    <t>13 رمضان</t>
  </si>
  <si>
    <t>14 رمضان</t>
  </si>
  <si>
    <t>15 رمضان</t>
  </si>
  <si>
    <t>16 رمضان</t>
  </si>
  <si>
    <t>17 رمضان</t>
  </si>
  <si>
    <t>18 رمضان</t>
  </si>
  <si>
    <t>19 رمضان</t>
  </si>
  <si>
    <t>20 رمضان</t>
  </si>
  <si>
    <t>21 رمضان</t>
  </si>
  <si>
    <t>22 رمضان</t>
  </si>
  <si>
    <t>23 رمضان</t>
  </si>
  <si>
    <t>24 رمضان</t>
  </si>
  <si>
    <t>25 رمضان</t>
  </si>
  <si>
    <t>26 رمضان</t>
  </si>
  <si>
    <t>27 رمضان</t>
  </si>
  <si>
    <t>28 رمضان</t>
  </si>
  <si>
    <t>29 رمضان</t>
  </si>
  <si>
    <t>الفجر</t>
  </si>
  <si>
    <t>الظهر</t>
  </si>
  <si>
    <t>العصر</t>
  </si>
  <si>
    <t>المغرب</t>
  </si>
  <si>
    <t>العشاء</t>
  </si>
  <si>
    <t>القراءه</t>
  </si>
  <si>
    <t>هدف الأسبوع - الصلاة</t>
  </si>
  <si>
    <t>هدف الأسبوع - القراءة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</si>
</sst>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rgb="FF000000"/>
      <name val="Calibri"/>
      <scheme val="minor"/>
    </font>
    <font>
      <sz val="22"/>
      <color rgb="FFFFFFFF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u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70AD46"/>
        <bgColor rgb="FF70AD46"/>
      </patternFill>
    </fill>
    <fill>
      <patternFill patternType="solid">
        <fgColor rgb="FF2F5496"/>
        <bgColor rgb="FF2F5496"/>
      </patternFill>
    </fill>
    <fill>
      <patternFill patternType="solid">
        <fgColor rgb="FFFFBF00"/>
        <bgColor rgb="FFFFBF00"/>
      </patternFill>
    </fill>
    <fill>
      <patternFill patternType="solid">
        <fgColor rgb="FFE7E6E6"/>
        <bgColor rgb="FFE7E6E6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BFBFBF"/>
        <bgColor rgb="FFBFBFBF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theme="5" tint="0.79998168889431442"/>
        <b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theme="7"/>
      </right>
      <top/>
      <bottom/>
      <diagonal/>
    </border>
    <border>
      <left/>
      <right style="thick">
        <color theme="9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 applyFont="1" applyAlignment="1">
      <alignment vertical="center"/>
    </xf>
    <xf numFmtId="0" fontId="5" fillId="4" borderId="6" xfId="0" applyFont="1" applyFill="1" applyBorder="1" applyAlignment="1"/>
    <xf numFmtId="9" fontId="5" fillId="4" borderId="6" xfId="0" applyNumberFormat="1" applyFont="1" applyFill="1" applyBorder="1" applyAlignment="1"/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6" borderId="7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6" fillId="11" borderId="7" xfId="0" applyFont="1" applyFill="1" applyBorder="1" applyAlignment="1">
      <alignment horizontal="center"/>
    </xf>
    <xf numFmtId="0" fontId="3" fillId="12" borderId="6" xfId="0" applyFont="1" applyFill="1" applyBorder="1" applyAlignment="1">
      <alignment horizontal="center"/>
    </xf>
    <xf numFmtId="0" fontId="3" fillId="13" borderId="6" xfId="0" applyFont="1" applyFill="1" applyBorder="1" applyAlignment="1">
      <alignment horizontal="center"/>
    </xf>
    <xf numFmtId="0" fontId="3" fillId="14" borderId="6" xfId="0" applyFont="1" applyFill="1" applyBorder="1" applyAlignment="1">
      <alignment horizontal="center"/>
    </xf>
    <xf numFmtId="0" fontId="3" fillId="15" borderId="6" xfId="0" applyFont="1" applyFill="1" applyBorder="1" applyAlignment="1">
      <alignment horizontal="center"/>
    </xf>
    <xf numFmtId="0" fontId="10" fillId="16" borderId="6" xfId="0" applyFont="1" applyFill="1" applyBorder="1" applyAlignment="1">
      <alignment horizontal="center"/>
    </xf>
    <xf numFmtId="0" fontId="8" fillId="11" borderId="4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4" fillId="4" borderId="4" xfId="0" applyFont="1" applyFill="1" applyBorder="1" applyAlignment="1">
      <alignment horizontal="center"/>
    </xf>
    <xf numFmtId="0" fontId="2" fillId="0" borderId="5" xfId="0" applyFont="1" applyBorder="1" applyAlignment="1">
      <alignment vertical="center"/>
    </xf>
    <xf numFmtId="0" fontId="0" fillId="21" borderId="0" xfId="0" applyFont="1" applyFill="1" applyAlignment="1">
      <alignment horizontal="center" vertical="center"/>
    </xf>
    <xf numFmtId="0" fontId="11" fillId="19" borderId="0" xfId="0" applyFont="1" applyFill="1" applyAlignment="1">
      <alignment horizontal="center" vertical="center"/>
    </xf>
    <xf numFmtId="0" fontId="0" fillId="19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0" fontId="0" fillId="20" borderId="0" xfId="0" applyFont="1" applyFill="1" applyAlignment="1">
      <alignment horizontal="center" vertical="center"/>
    </xf>
    <xf numFmtId="0" fontId="11" fillId="17" borderId="0" xfId="0" applyFont="1" applyFill="1" applyAlignment="1">
      <alignment horizontal="center" vertical="center"/>
    </xf>
    <xf numFmtId="0" fontId="0" fillId="17" borderId="0" xfId="0" applyFont="1" applyFill="1" applyAlignment="1">
      <alignment horizontal="center" vertical="center"/>
    </xf>
    <xf numFmtId="0" fontId="11" fillId="18" borderId="0" xfId="0" applyFont="1" applyFill="1" applyAlignment="1">
      <alignment horizontal="center" vertical="center"/>
    </xf>
    <xf numFmtId="0" fontId="0" fillId="18" borderId="0" xfId="0" applyFont="1" applyFill="1" applyAlignment="1">
      <alignment horizontal="center" vertical="center"/>
    </xf>
    <xf numFmtId="0" fontId="3" fillId="7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3" fillId="8" borderId="4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9" fillId="0" borderId="6" xfId="0" applyFont="1" applyBorder="1" applyAlignment="1">
      <alignment horizontal="right" vertical="center"/>
    </xf>
    <xf numFmtId="0" fontId="9" fillId="0" borderId="13" xfId="0" applyFont="1" applyBorder="1" applyAlignment="1">
      <alignment horizontal="right" vertical="center"/>
    </xf>
    <xf numFmtId="0" fontId="9" fillId="0" borderId="12" xfId="0" applyFont="1" applyBorder="1" applyAlignment="1">
      <alignment horizontal="right" vertical="center"/>
    </xf>
  </cellXfs>
  <cellStyles count="1">
    <cellStyle name="Normal" xfId="0" builtinId="0"/>
  </cellStyles>
  <dxfs count="27"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B083"/>
          <bgColor rgb="FFF4B08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8EAADB"/>
          <bgColor rgb="FF8EAADB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595310</xdr:colOff>
      <xdr:row>1</xdr:row>
      <xdr:rowOff>154496</xdr:rowOff>
    </xdr:from>
    <xdr:to>
      <xdr:col>21</xdr:col>
      <xdr:colOff>238124</xdr:colOff>
      <xdr:row>7</xdr:row>
      <xdr:rowOff>168577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3211954" y="343012"/>
          <a:ext cx="2668986" cy="1145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4"/>
  <sheetViews>
    <sheetView rightToLeft="1" tabSelected="1" zoomScale="63" zoomScaleNormal="85" workbookViewId="0">
      <selection activeCell="E22" sqref="E22"/>
    </sheetView>
  </sheetViews>
  <sheetFormatPr defaultRowHeight="14.5" x14ac:dyDescent="0.35"/>
  <cols>
    <col min="1" max="16384" width="8.7265625" style="7"/>
  </cols>
  <sheetData>
    <row r="1" spans="1:30" x14ac:dyDescent="0.3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x14ac:dyDescent="0.35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</row>
    <row r="3" spans="1:30" x14ac:dyDescent="0.35">
      <c r="A3" s="41" t="s">
        <v>1</v>
      </c>
      <c r="B3" s="25"/>
      <c r="C3" s="44">
        <f>SUM(B14:AD18)</f>
        <v>70</v>
      </c>
      <c r="D3" s="44"/>
      <c r="E3" s="44"/>
      <c r="F3" s="45"/>
      <c r="G3" s="17"/>
      <c r="H3" s="24" t="s">
        <v>2</v>
      </c>
      <c r="I3" s="25"/>
      <c r="J3" s="1">
        <v>145</v>
      </c>
      <c r="K3" s="24" t="s">
        <v>3</v>
      </c>
      <c r="L3" s="25"/>
      <c r="M3" s="2">
        <f>SUM(C3)/J3</f>
        <v>0.48275862068965519</v>
      </c>
      <c r="N3" s="26" t="str">
        <f>IF(AND(C3&gt;130,C3&lt;145),"قربت توصل",IF(G9+N9+U9+AB9=400,"مبرووووووك تم تحقيق الهدف كاملا",IF(G9+N9+U9=300,"تم تحقيق الهدف لثالث أسبوع",IF(G9+N9=200,"تم تحقيق الهدف لثاني أسبوع",IF(G9=100,"تم تحقيق الهدف لأول أسبوع"," ")))))</f>
        <v>تم تحقيق الهدف لثاني أسبوع</v>
      </c>
      <c r="O3" s="26"/>
      <c r="P3" s="26"/>
      <c r="Q3" s="26"/>
    </row>
    <row r="4" spans="1:30" x14ac:dyDescent="0.35">
      <c r="A4" s="42"/>
      <c r="B4" s="23"/>
      <c r="H4"/>
      <c r="I4"/>
      <c r="J4"/>
      <c r="K4"/>
      <c r="L4"/>
      <c r="M4"/>
    </row>
    <row r="5" spans="1:30" x14ac:dyDescent="0.35">
      <c r="A5" s="43" t="s">
        <v>4</v>
      </c>
      <c r="B5" s="25"/>
      <c r="C5" s="44">
        <f>SUM(B20:AD24)/4</f>
        <v>0</v>
      </c>
      <c r="D5" s="44"/>
      <c r="E5" s="44"/>
      <c r="F5" s="46"/>
      <c r="H5" s="24" t="s">
        <v>5</v>
      </c>
      <c r="I5" s="25"/>
      <c r="J5" s="1">
        <v>30</v>
      </c>
      <c r="K5" s="24" t="s">
        <v>3</v>
      </c>
      <c r="L5" s="25"/>
      <c r="M5" s="2">
        <f>SUM(C5)/J5</f>
        <v>0</v>
      </c>
      <c r="N5" s="26" t="str">
        <f>IF(AND(C5&gt;130,C5&lt;145),"قربت توصل",IF(G10+N10+U10+AB10=400,"مبرووووووك تم تحقيق الهدف كاملا",IF(G10+N10+U10=300,"تم تحقيق الهدف لثالث أسبوع",IF(G10+N10=200,"تم تحقيق الهدف لثاني أسبوع",IF(G10=100,"تم تحقيق الهدف لأول أسبوع"," ")))))</f>
        <v xml:space="preserve"> </v>
      </c>
      <c r="O5" s="26"/>
      <c r="P5" s="26"/>
      <c r="Q5" s="26"/>
    </row>
    <row r="9" spans="1:30" x14ac:dyDescent="0.35">
      <c r="C9" s="32" t="s">
        <v>46</v>
      </c>
      <c r="D9" s="33"/>
      <c r="E9" s="29" t="str">
        <f>IF(SUM(B14:H18)=35,"تم تحقيق الهدف","لم يتم الوصول")</f>
        <v>تم تحقيق الهدف</v>
      </c>
      <c r="F9" s="29"/>
      <c r="G9" s="18">
        <f>(SUM(B14:H18)/35)*100</f>
        <v>100</v>
      </c>
      <c r="J9" s="34" t="s">
        <v>46</v>
      </c>
      <c r="K9" s="35"/>
      <c r="L9" s="29" t="str">
        <f>IF(SUM(I14:O18)=35,"تم تحقيق الهدف","لم يتم الوصول")</f>
        <v>تم تحقيق الهدف</v>
      </c>
      <c r="M9" s="29"/>
      <c r="N9" s="18">
        <f>(SUM(I14:O18)/35)*100</f>
        <v>100</v>
      </c>
      <c r="Q9" s="27" t="s">
        <v>46</v>
      </c>
      <c r="R9" s="28"/>
      <c r="S9" s="29" t="str">
        <f>IF(SUM(P14:V18)=35,"تم تحقيق الهدف","لم يتم الوصول")</f>
        <v>لم يتم الوصول</v>
      </c>
      <c r="T9" s="29"/>
      <c r="U9" s="18">
        <f>(SUM(P14:V18)/35)*100</f>
        <v>0</v>
      </c>
      <c r="X9" s="30" t="s">
        <v>46</v>
      </c>
      <c r="Y9" s="30"/>
      <c r="Z9" s="29" t="str">
        <f>IF(SUM(W14:AC18)=35,"تم تحقيق الهدف","لم يتم الوصول")</f>
        <v>لم يتم الوصول</v>
      </c>
      <c r="AA9" s="29"/>
      <c r="AB9" s="18">
        <f>(SUM(W14:AD18)/40)*100</f>
        <v>0</v>
      </c>
    </row>
    <row r="10" spans="1:30" x14ac:dyDescent="0.35">
      <c r="C10" s="32" t="s">
        <v>47</v>
      </c>
      <c r="D10" s="33"/>
      <c r="E10" s="29" t="str">
        <f>IF(SUM(B20:H24)=35,"تم تحقيف الهدف","لم يتم الوصول")</f>
        <v>لم يتم الوصول</v>
      </c>
      <c r="F10" s="29"/>
      <c r="G10" s="18">
        <f>(SUM(B20:H24)/35)*100</f>
        <v>0</v>
      </c>
      <c r="J10" s="34" t="s">
        <v>47</v>
      </c>
      <c r="K10" s="35"/>
      <c r="L10" s="29" t="str">
        <f>IF(SUM(I20:O24)=35,"تم تحقيف الهدف","لم يتم الوصول")</f>
        <v>لم يتم الوصول</v>
      </c>
      <c r="M10" s="29"/>
      <c r="N10" s="18">
        <f>(SUM(I20:O24)/35)*100</f>
        <v>0</v>
      </c>
      <c r="Q10" s="27" t="s">
        <v>47</v>
      </c>
      <c r="R10" s="28"/>
      <c r="S10" s="29" t="str">
        <f>IF(SUM(P20:V24)=35,"تم تحقيف الهدف","لم يتم الوصول")</f>
        <v>لم يتم الوصول</v>
      </c>
      <c r="T10" s="29"/>
      <c r="U10" s="18">
        <f>(SUM(P20:V24)/35)*100</f>
        <v>0</v>
      </c>
      <c r="X10" s="30" t="s">
        <v>47</v>
      </c>
      <c r="Y10" s="31"/>
      <c r="Z10" s="29" t="str">
        <f>IF(SUM(W20:AC24)=35,"تم تحقيف الهدف","لم يتم الوصول")</f>
        <v>لم يتم الوصول</v>
      </c>
      <c r="AA10" s="29"/>
      <c r="AB10" s="18">
        <f>(SUM(W20:AD24)/35)*100</f>
        <v>0</v>
      </c>
    </row>
    <row r="12" spans="1:30" x14ac:dyDescent="0.35">
      <c r="A12" s="6"/>
      <c r="B12" s="36" t="s">
        <v>6</v>
      </c>
      <c r="C12" s="37"/>
      <c r="D12" s="37"/>
      <c r="E12" s="37"/>
      <c r="F12" s="37"/>
      <c r="G12" s="37"/>
      <c r="H12" s="37"/>
      <c r="I12" s="38" t="s">
        <v>7</v>
      </c>
      <c r="J12" s="37"/>
      <c r="K12" s="37"/>
      <c r="L12" s="37"/>
      <c r="M12" s="37"/>
      <c r="N12" s="37"/>
      <c r="O12" s="37"/>
      <c r="P12" s="39" t="s">
        <v>8</v>
      </c>
      <c r="Q12" s="37"/>
      <c r="R12" s="37"/>
      <c r="S12" s="37"/>
      <c r="T12" s="37"/>
      <c r="U12" s="37"/>
      <c r="V12" s="37"/>
      <c r="W12" s="40" t="s">
        <v>9</v>
      </c>
      <c r="X12" s="37"/>
      <c r="Y12" s="37"/>
      <c r="Z12" s="37"/>
      <c r="AA12" s="37"/>
      <c r="AB12" s="37"/>
      <c r="AC12" s="37"/>
      <c r="AD12" s="37"/>
    </row>
    <row r="13" spans="1:30" x14ac:dyDescent="0.35">
      <c r="A13" s="8" t="s">
        <v>10</v>
      </c>
      <c r="B13" s="9" t="s">
        <v>11</v>
      </c>
      <c r="C13" s="9" t="s">
        <v>12</v>
      </c>
      <c r="D13" s="9" t="s">
        <v>13</v>
      </c>
      <c r="E13" s="9" t="s">
        <v>14</v>
      </c>
      <c r="F13" s="9" t="s">
        <v>15</v>
      </c>
      <c r="G13" s="9" t="s">
        <v>16</v>
      </c>
      <c r="H13" s="9" t="s">
        <v>17</v>
      </c>
      <c r="I13" s="10" t="s">
        <v>18</v>
      </c>
      <c r="J13" s="10" t="s">
        <v>19</v>
      </c>
      <c r="K13" s="10" t="s">
        <v>20</v>
      </c>
      <c r="L13" s="10" t="s">
        <v>21</v>
      </c>
      <c r="M13" s="10" t="s">
        <v>22</v>
      </c>
      <c r="N13" s="10" t="s">
        <v>23</v>
      </c>
      <c r="O13" s="10" t="s">
        <v>24</v>
      </c>
      <c r="P13" s="11" t="s">
        <v>25</v>
      </c>
      <c r="Q13" s="11" t="s">
        <v>26</v>
      </c>
      <c r="R13" s="11" t="s">
        <v>27</v>
      </c>
      <c r="S13" s="11" t="s">
        <v>28</v>
      </c>
      <c r="T13" s="11" t="s">
        <v>29</v>
      </c>
      <c r="U13" s="11" t="s">
        <v>30</v>
      </c>
      <c r="V13" s="11" t="s">
        <v>31</v>
      </c>
      <c r="W13" s="12" t="s">
        <v>32</v>
      </c>
      <c r="X13" s="12" t="s">
        <v>33</v>
      </c>
      <c r="Y13" s="12" t="s">
        <v>34</v>
      </c>
      <c r="Z13" s="12" t="s">
        <v>35</v>
      </c>
      <c r="AA13" s="12" t="s">
        <v>36</v>
      </c>
      <c r="AB13" s="12" t="s">
        <v>37</v>
      </c>
      <c r="AC13" s="12" t="s">
        <v>38</v>
      </c>
      <c r="AD13" s="13" t="s">
        <v>39</v>
      </c>
    </row>
    <row r="14" spans="1:30" x14ac:dyDescent="0.35">
      <c r="A14" s="6" t="s">
        <v>40</v>
      </c>
      <c r="B14" s="3"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x14ac:dyDescent="0.35">
      <c r="A15" s="6" t="s">
        <v>41</v>
      </c>
      <c r="B15" s="3">
        <v>1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x14ac:dyDescent="0.35">
      <c r="A16" s="6" t="s">
        <v>42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x14ac:dyDescent="0.35">
      <c r="A17" s="6" t="s">
        <v>43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x14ac:dyDescent="0.35">
      <c r="A18" s="6" t="s">
        <v>44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x14ac:dyDescent="0.35">
      <c r="A19" s="14" t="s">
        <v>45</v>
      </c>
      <c r="B19" s="9" t="s">
        <v>11</v>
      </c>
      <c r="C19" s="9" t="s">
        <v>12</v>
      </c>
      <c r="D19" s="9" t="s">
        <v>13</v>
      </c>
      <c r="E19" s="9" t="s">
        <v>14</v>
      </c>
      <c r="F19" s="9" t="s">
        <v>15</v>
      </c>
      <c r="G19" s="9" t="s">
        <v>16</v>
      </c>
      <c r="H19" s="9" t="s">
        <v>17</v>
      </c>
      <c r="I19" s="10" t="s">
        <v>18</v>
      </c>
      <c r="J19" s="10" t="s">
        <v>19</v>
      </c>
      <c r="K19" s="10" t="s">
        <v>20</v>
      </c>
      <c r="L19" s="10" t="s">
        <v>21</v>
      </c>
      <c r="M19" s="10" t="s">
        <v>22</v>
      </c>
      <c r="N19" s="10" t="s">
        <v>23</v>
      </c>
      <c r="O19" s="10" t="s">
        <v>24</v>
      </c>
      <c r="P19" s="11" t="s">
        <v>25</v>
      </c>
      <c r="Q19" s="11" t="s">
        <v>26</v>
      </c>
      <c r="R19" s="11" t="s">
        <v>27</v>
      </c>
      <c r="S19" s="11" t="s">
        <v>28</v>
      </c>
      <c r="T19" s="11" t="s">
        <v>29</v>
      </c>
      <c r="U19" s="11" t="s">
        <v>30</v>
      </c>
      <c r="V19" s="11" t="s">
        <v>31</v>
      </c>
      <c r="W19" s="12" t="s">
        <v>32</v>
      </c>
      <c r="X19" s="12" t="s">
        <v>33</v>
      </c>
      <c r="Y19" s="12" t="s">
        <v>34</v>
      </c>
      <c r="Z19" s="12" t="s">
        <v>35</v>
      </c>
      <c r="AA19" s="12" t="s">
        <v>36</v>
      </c>
      <c r="AB19" s="12" t="s">
        <v>37</v>
      </c>
      <c r="AC19" s="12" t="s">
        <v>38</v>
      </c>
      <c r="AD19" s="13" t="s">
        <v>39</v>
      </c>
    </row>
    <row r="20" spans="1:30" x14ac:dyDescent="0.35">
      <c r="A20" s="6" t="s">
        <v>40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9"/>
    </row>
    <row r="21" spans="1:30" x14ac:dyDescent="0.35">
      <c r="A21" s="6" t="s">
        <v>41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x14ac:dyDescent="0.35">
      <c r="A22" s="6" t="s">
        <v>42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x14ac:dyDescent="0.35">
      <c r="A23" s="6" t="s">
        <v>43</v>
      </c>
      <c r="B23" s="4"/>
      <c r="C23" s="4"/>
      <c r="D23" s="4"/>
      <c r="E23" s="4"/>
      <c r="F23" s="4"/>
      <c r="G23" s="4"/>
      <c r="H23" s="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x14ac:dyDescent="0.35">
      <c r="A24" s="15" t="s">
        <v>44</v>
      </c>
      <c r="B24" s="5"/>
      <c r="C24" s="5"/>
      <c r="D24" s="5"/>
      <c r="E24" s="5"/>
      <c r="F24" s="5"/>
      <c r="G24" s="5"/>
      <c r="H24" s="5"/>
      <c r="I24" s="16"/>
      <c r="J24" s="16"/>
      <c r="K24" s="16"/>
      <c r="L24" s="16"/>
      <c r="M24" s="16"/>
      <c r="N24" s="16"/>
      <c r="O24" s="16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</sheetData>
  <mergeCells count="32">
    <mergeCell ref="B12:H12"/>
    <mergeCell ref="I12:O12"/>
    <mergeCell ref="P12:V12"/>
    <mergeCell ref="W12:AD12"/>
    <mergeCell ref="A3:B3"/>
    <mergeCell ref="A4:B4"/>
    <mergeCell ref="A5:B5"/>
    <mergeCell ref="C3:F3"/>
    <mergeCell ref="C5:F5"/>
    <mergeCell ref="C9:D9"/>
    <mergeCell ref="Z9:AA9"/>
    <mergeCell ref="X10:Y10"/>
    <mergeCell ref="Z10:AA10"/>
    <mergeCell ref="C10:D10"/>
    <mergeCell ref="E9:F9"/>
    <mergeCell ref="E10:F10"/>
    <mergeCell ref="J9:K9"/>
    <mergeCell ref="L9:M9"/>
    <mergeCell ref="J10:K10"/>
    <mergeCell ref="L10:M10"/>
    <mergeCell ref="Q9:R9"/>
    <mergeCell ref="S9:T9"/>
    <mergeCell ref="Q10:R10"/>
    <mergeCell ref="S10:T10"/>
    <mergeCell ref="X9:Y9"/>
    <mergeCell ref="A1:AD2"/>
    <mergeCell ref="H3:I3"/>
    <mergeCell ref="K3:L3"/>
    <mergeCell ref="H5:I5"/>
    <mergeCell ref="K5:L5"/>
    <mergeCell ref="N5:Q5"/>
    <mergeCell ref="N3:Q3"/>
  </mergeCells>
  <conditionalFormatting sqref="B15 B20:AD24 C15:H16 I14:AD18">
    <cfRule type="cellIs" dxfId="26" priority="34" operator="greaterThan">
      <formula>0</formula>
    </cfRule>
  </conditionalFormatting>
  <conditionalFormatting sqref="B20:AD24 B14:AD18">
    <cfRule type="cellIs" dxfId="25" priority="35" operator="greaterThan">
      <formula>0</formula>
    </cfRule>
  </conditionalFormatting>
  <conditionalFormatting sqref="B14:AD18">
    <cfRule type="cellIs" dxfId="24" priority="36" operator="greaterThan">
      <formula>0</formula>
    </cfRule>
  </conditionalFormatting>
  <conditionalFormatting sqref="B21 P14:AD18 C21:O22 P20:AD24 B15:AD16">
    <cfRule type="cellIs" dxfId="23" priority="37" operator="greaterThan">
      <formula>0</formula>
    </cfRule>
  </conditionalFormatting>
  <conditionalFormatting sqref="B14:AD18">
    <cfRule type="cellIs" dxfId="22" priority="38" operator="greaterThan">
      <formula>0</formula>
    </cfRule>
  </conditionalFormatting>
  <conditionalFormatting sqref="W14:AD18 W20:AD24">
    <cfRule type="cellIs" dxfId="21" priority="39" operator="greaterThan">
      <formula>0</formula>
    </cfRule>
  </conditionalFormatting>
  <conditionalFormatting sqref="B14:H18">
    <cfRule type="cellIs" dxfId="20" priority="11" operator="greaterThan">
      <formula>0</formula>
    </cfRule>
    <cfRule type="cellIs" dxfId="19" priority="28" operator="greaterThan">
      <formula>0</formula>
    </cfRule>
    <cfRule type="cellIs" dxfId="18" priority="32" operator="greaterThan">
      <formula>0</formula>
    </cfRule>
    <cfRule type="cellIs" dxfId="17" priority="33" operator="greaterThan">
      <formula>0</formula>
    </cfRule>
  </conditionalFormatting>
  <conditionalFormatting sqref="C3:F3">
    <cfRule type="dataBar" priority="31">
      <dataBar>
        <cfvo type="num" val="0"/>
        <cfvo type="num" val="145"/>
        <color rgb="FF92D050"/>
      </dataBar>
      <extLst>
        <ext xmlns:x14="http://schemas.microsoft.com/office/spreadsheetml/2009/9/main" uri="{B025F937-C7B1-47D3-B67F-A62EFF666E3E}">
          <x14:id>{F1061792-C283-4DEA-A732-ACBCD60E02D1}</x14:id>
        </ext>
      </extLst>
    </cfRule>
  </conditionalFormatting>
  <conditionalFormatting sqref="C5:F5">
    <cfRule type="dataBar" priority="30">
      <dataBar>
        <cfvo type="num" val="0"/>
        <cfvo type="num" val="30"/>
        <color theme="7"/>
      </dataBar>
      <extLst>
        <ext xmlns:x14="http://schemas.microsoft.com/office/spreadsheetml/2009/9/main" uri="{B025F937-C7B1-47D3-B67F-A62EFF666E3E}">
          <x14:id>{BF22674A-AE9C-47E6-8E40-5165C34677E5}</x14:id>
        </ext>
      </extLst>
    </cfRule>
  </conditionalFormatting>
  <conditionalFormatting sqref="B20:H24">
    <cfRule type="cellIs" dxfId="16" priority="29" operator="greaterThan">
      <formula>0</formula>
    </cfRule>
  </conditionalFormatting>
  <conditionalFormatting sqref="B14:O18">
    <cfRule type="cellIs" dxfId="15" priority="27" operator="greaterThan">
      <formula>0</formula>
    </cfRule>
  </conditionalFormatting>
  <conditionalFormatting sqref="I20:O24">
    <cfRule type="cellIs" dxfId="14" priority="24" operator="greaterThan">
      <formula>0</formula>
    </cfRule>
    <cfRule type="cellIs" dxfId="13" priority="25" operator="greaterThan">
      <formula>1</formula>
    </cfRule>
    <cfRule type="cellIs" dxfId="12" priority="26" operator="greaterThan">
      <formula>0</formula>
    </cfRule>
  </conditionalFormatting>
  <conditionalFormatting sqref="P14:W18 P20:V24">
    <cfRule type="cellIs" dxfId="11" priority="23" operator="greaterThan">
      <formula>0</formula>
    </cfRule>
  </conditionalFormatting>
  <conditionalFormatting sqref="W14:AD18 W20:AD24">
    <cfRule type="cellIs" dxfId="10" priority="21" operator="greaterThan">
      <formula>0</formula>
    </cfRule>
  </conditionalFormatting>
  <conditionalFormatting sqref="G9">
    <cfRule type="iconSet" priority="19">
      <iconSet iconSet="3Symbols">
        <cfvo type="percent" val="0"/>
        <cfvo type="num" val="60"/>
        <cfvo type="num" val="90"/>
      </iconSet>
    </cfRule>
  </conditionalFormatting>
  <conditionalFormatting sqref="G10">
    <cfRule type="iconSet" priority="18">
      <iconSet iconSet="3Symbols">
        <cfvo type="percent" val="0"/>
        <cfvo type="num" val="60"/>
        <cfvo type="num" val="90"/>
      </iconSet>
    </cfRule>
  </conditionalFormatting>
  <conditionalFormatting sqref="N9">
    <cfRule type="iconSet" priority="17">
      <iconSet iconSet="3Symbols">
        <cfvo type="percent" val="0"/>
        <cfvo type="num" val="60"/>
        <cfvo type="num" val="90"/>
      </iconSet>
    </cfRule>
  </conditionalFormatting>
  <conditionalFormatting sqref="N10">
    <cfRule type="iconSet" priority="16">
      <iconSet iconSet="3Symbols">
        <cfvo type="percent" val="0"/>
        <cfvo type="num" val="60"/>
        <cfvo type="num" val="90"/>
      </iconSet>
    </cfRule>
  </conditionalFormatting>
  <conditionalFormatting sqref="U10">
    <cfRule type="iconSet" priority="15">
      <iconSet iconSet="3Symbols">
        <cfvo type="percent" val="0"/>
        <cfvo type="num" val="60"/>
        <cfvo type="num" val="90"/>
      </iconSet>
    </cfRule>
  </conditionalFormatting>
  <conditionalFormatting sqref="AB10">
    <cfRule type="iconSet" priority="14">
      <iconSet iconSet="3Symbols">
        <cfvo type="percent" val="0"/>
        <cfvo type="num" val="60"/>
        <cfvo type="num" val="90"/>
      </iconSet>
    </cfRule>
  </conditionalFormatting>
  <conditionalFormatting sqref="U9">
    <cfRule type="iconSet" priority="13">
      <iconSet iconSet="3Symbols">
        <cfvo type="percent" val="0"/>
        <cfvo type="num" val="60"/>
        <cfvo type="num" val="90"/>
      </iconSet>
    </cfRule>
  </conditionalFormatting>
  <conditionalFormatting sqref="AB9">
    <cfRule type="iconSet" priority="12">
      <iconSet iconSet="3Symbols">
        <cfvo type="percent" val="0"/>
        <cfvo type="num" val="60"/>
        <cfvo type="num" val="90"/>
      </iconSet>
    </cfRule>
  </conditionalFormatting>
  <conditionalFormatting sqref="N3:Q3">
    <cfRule type="containsText" dxfId="9" priority="10" operator="containsText" text="تم تحقيق الهدف لأول أسبوع">
      <formula>NOT(ISERROR(SEARCH("تم تحقيق الهدف لأول أسبوع",N3)))</formula>
    </cfRule>
    <cfRule type="containsText" dxfId="8" priority="9" operator="containsText" text="تم تحقيق الهدف لثاني أسبوع">
      <formula>NOT(ISERROR(SEARCH("تم تحقيق الهدف لثاني أسبوع",N3)))</formula>
    </cfRule>
    <cfRule type="containsText" dxfId="7" priority="8" operator="containsText" text="تم تحقيق الهدف لثالث أسبوع">
      <formula>NOT(ISERROR(SEARCH("تم تحقيق الهدف لثالث أسبوع",N3)))</formula>
    </cfRule>
    <cfRule type="containsText" dxfId="6" priority="7" operator="containsText" text="قربت توصل">
      <formula>NOT(ISERROR(SEARCH("قربت توصل",N3)))</formula>
    </cfRule>
    <cfRule type="containsText" dxfId="5" priority="6" operator="containsText" text="مبرووووووك تم تحقيق الهدف كاملا">
      <formula>NOT(ISERROR(SEARCH("مبرووووووك تم تحقيق الهدف كاملا",N3)))</formula>
    </cfRule>
  </conditionalFormatting>
  <conditionalFormatting sqref="N5:Q5">
    <cfRule type="containsText" dxfId="4" priority="5" operator="containsText" text="تم تحقيق الهدف لأول أسبوع">
      <formula>NOT(ISERROR(SEARCH("تم تحقيق الهدف لأول أسبوع",N5)))</formula>
    </cfRule>
    <cfRule type="containsText" dxfId="3" priority="4" operator="containsText" text="تم تحقيق الهدف لثاني أسبوع">
      <formula>NOT(ISERROR(SEARCH("تم تحقيق الهدف لثاني أسبوع",N5)))</formula>
    </cfRule>
    <cfRule type="containsText" dxfId="2" priority="3" operator="containsText" text="تم تحقيق الهدف لثالث أسبوع">
      <formula>NOT(ISERROR(SEARCH("تم تحقيق الهدف لثالث أسبوع",N5)))</formula>
    </cfRule>
    <cfRule type="containsText" dxfId="1" priority="2" operator="containsText" text="قربت توصل">
      <formula>NOT(ISERROR(SEARCH("قربت توصل",N5)))</formula>
    </cfRule>
    <cfRule type="containsText" dxfId="0" priority="1" operator="containsText" text="مبرووووووك تم تحقيق الهدف كاملا">
      <formula>NOT(ISERROR(SEARCH("مبرووووووك تم تحقيق الهدف كاملا",N5)))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061792-C283-4DEA-A732-ACBCD60E02D1}">
            <x14:dataBar minLength="0" maxLength="100" gradient="0">
              <x14:cfvo type="num">
                <xm:f>0</xm:f>
              </x14:cfvo>
              <x14:cfvo type="num">
                <xm:f>145</xm:f>
              </x14:cfvo>
              <x14:negativeFillColor rgb="FFFF0000"/>
              <x14:axisColor rgb="FF000000"/>
            </x14:dataBar>
          </x14:cfRule>
          <xm:sqref>C3:F3</xm:sqref>
        </x14:conditionalFormatting>
        <x14:conditionalFormatting xmlns:xm="http://schemas.microsoft.com/office/excel/2006/main">
          <x14:cfRule type="dataBar" id="{BF22674A-AE9C-47E6-8E40-5165C34677E5}">
            <x14:dataBar minLength="0" maxLength="100" gradient="0">
              <x14:cfvo type="num">
                <xm:f>0</xm:f>
              </x14:cfvo>
              <x14:cfvo type="num">
                <xm:f>30</xm:f>
              </x14:cfvo>
              <x14:negativeFillColor rgb="FFFF0000"/>
              <x14:axisColor rgb="FF000000"/>
            </x14:dataBar>
          </x14:cfRule>
          <xm:sqref>C5:F5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تحدي شهر رمضان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hesham</dc:creator>
  <cp:lastModifiedBy>mohammad</cp:lastModifiedBy>
  <dcterms:created xsi:type="dcterms:W3CDTF">2021-04-14T10:59:10Z</dcterms:created>
  <dcterms:modified xsi:type="dcterms:W3CDTF">2026-02-15T16:57:47Z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beb119c82dcf4b338f8d2d464966606c</vt:lpwstr>
  </property>
</Properties>
</file>